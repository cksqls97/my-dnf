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  <sheet state="visible" name="시트2" sheetId="2" r:id="rId6"/>
  </sheets>
  <definedNames/>
  <calcPr/>
</workbook>
</file>

<file path=xl/sharedStrings.xml><?xml version="1.0" encoding="utf-8"?>
<sst xmlns="http://schemas.openxmlformats.org/spreadsheetml/2006/main" count="99" uniqueCount="52">
  <si>
    <t>내 서버</t>
  </si>
  <si>
    <t>cain</t>
  </si>
  <si>
    <t>자동 영역</t>
  </si>
  <si>
    <t>수동 영역</t>
  </si>
  <si>
    <t>캐릭터명</t>
  </si>
  <si>
    <t>명성</t>
  </si>
  <si>
    <t>장착 세트</t>
  </si>
  <si>
    <t>세트 등급</t>
  </si>
  <si>
    <t>세트 포인트</t>
  </si>
  <si>
    <t>장착 서약 세트</t>
  </si>
  <si>
    <t>서약 등급</t>
  </si>
  <si>
    <t>서약 포인트</t>
  </si>
  <si>
    <t>던담 딜(버프력)</t>
  </si>
  <si>
    <t>마부상태</t>
  </si>
  <si>
    <t>칭호</t>
  </si>
  <si>
    <t>오라</t>
  </si>
  <si>
    <t>크리쳐</t>
  </si>
  <si>
    <t>아바타</t>
  </si>
  <si>
    <t>나좀데려가소</t>
  </si>
  <si>
    <t>태초</t>
  </si>
  <si>
    <t>에픽 IV</t>
  </si>
  <si>
    <t>기본</t>
  </si>
  <si>
    <t>엔드(플래티넘)</t>
  </si>
  <si>
    <t>빨간맛버서커</t>
  </si>
  <si>
    <t>레어 II</t>
  </si>
  <si>
    <t>일루젼Slash</t>
  </si>
  <si>
    <t>등급 없음</t>
  </si>
  <si>
    <t>SaintMedic</t>
  </si>
  <si>
    <t>레어 I</t>
  </si>
  <si>
    <t>Fire_Strike</t>
  </si>
  <si>
    <t>분신펑</t>
  </si>
  <si>
    <t>홀딩홀딩묶묶</t>
  </si>
  <si>
    <t>SaintPriest</t>
  </si>
  <si>
    <t>뭔가모자른애</t>
  </si>
  <si>
    <t>에픽 III</t>
  </si>
  <si>
    <t>강화는아니다</t>
  </si>
  <si>
    <t>강렬한기운1</t>
  </si>
  <si>
    <t>에픽 II</t>
  </si>
  <si>
    <t>St.Angel</t>
  </si>
  <si>
    <t>레전더리 III</t>
  </si>
  <si>
    <t>군머용디트</t>
  </si>
  <si>
    <t>레전더리 V</t>
  </si>
  <si>
    <t>써든6셋맞춤</t>
  </si>
  <si>
    <t>빠르기만한놈</t>
  </si>
  <si>
    <t>레전더리 IV</t>
  </si>
  <si>
    <t>앵콜이없어</t>
  </si>
  <si>
    <t>짜Ⅹ이</t>
  </si>
  <si>
    <t>빠Ⅹ따</t>
  </si>
  <si>
    <t>레전더리 I</t>
  </si>
  <si>
    <t>로우킥맞아라</t>
  </si>
  <si>
    <t>St.Enchanter</t>
  </si>
  <si>
    <t>레전더리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</si>
</sst>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sz val="10.0"/>
      <color rgb="FF34343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5" fillId="2" fontId="3" numFmtId="0" xfId="0" applyAlignment="1" applyBorder="1" applyFill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5" width="9.13"/>
    <col customWidth="1" min="6" max="6" width="17.75"/>
    <col customWidth="1" min="7" max="7" width="7.63"/>
    <col customWidth="1" min="8" max="8" width="9.13"/>
    <col customWidth="1" min="9" max="9" width="11.75"/>
    <col customWidth="1" min="10" max="10" width="7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>
      <c r="A3" s="3"/>
      <c r="B3" s="4" t="s">
        <v>2</v>
      </c>
      <c r="C3" s="5"/>
      <c r="D3" s="5"/>
      <c r="E3" s="5"/>
      <c r="F3" s="5"/>
      <c r="G3" s="5"/>
      <c r="H3" s="6"/>
      <c r="I3" s="3"/>
      <c r="J3" s="4" t="s">
        <v>3</v>
      </c>
      <c r="K3" s="5"/>
      <c r="L3" s="5"/>
      <c r="M3" s="5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>
      <c r="A4" s="7" t="s">
        <v>4</v>
      </c>
      <c r="B4" s="8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10" t="s">
        <v>11</v>
      </c>
      <c r="I4" s="11" t="s">
        <v>12</v>
      </c>
      <c r="J4" s="8" t="s">
        <v>13</v>
      </c>
      <c r="K4" s="9" t="s">
        <v>14</v>
      </c>
      <c r="L4" s="9" t="s">
        <v>15</v>
      </c>
      <c r="M4" s="9" t="s">
        <v>16</v>
      </c>
      <c r="N4" s="10" t="s">
        <v>17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>
      <c r="A5" s="7" t="s">
        <v>18</v>
      </c>
      <c r="B5" s="12">
        <f t="shared" ref="B5:B24" si="1">DNF_BASE($B$1, A5, "fame")</f>
        <v>110358</v>
      </c>
      <c r="C5" s="13" t="str">
        <f t="shared" ref="C5:C24" si="2">DNF_POINT($B$1, A5, "equip")</f>
        <v>용투장의 난 세트</v>
      </c>
      <c r="D5" s="9" t="s">
        <v>19</v>
      </c>
      <c r="E5" s="9">
        <v>2555.0</v>
      </c>
      <c r="F5" s="13" t="str">
        <f t="shared" ref="F5:F24" si="3">DNF_POINT($B$1, A5, "oath")</f>
        <v>어둠에 잠긴 그림자 서약</v>
      </c>
      <c r="G5" s="9" t="s">
        <v>20</v>
      </c>
      <c r="H5" s="10">
        <v>2400.0</v>
      </c>
      <c r="I5" s="11"/>
      <c r="J5" s="8" t="s">
        <v>21</v>
      </c>
      <c r="K5" s="9" t="s">
        <v>22</v>
      </c>
      <c r="L5" s="14"/>
      <c r="M5" s="14"/>
      <c r="N5" s="15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>
      <c r="A6" s="7" t="s">
        <v>23</v>
      </c>
      <c r="B6" s="12">
        <f t="shared" si="1"/>
        <v>83651</v>
      </c>
      <c r="C6" s="13" t="str">
        <f t="shared" si="2"/>
        <v>칠흑의 정화 세트</v>
      </c>
      <c r="D6" s="9" t="s">
        <v>19</v>
      </c>
      <c r="E6" s="9">
        <v>2550.0</v>
      </c>
      <c r="F6" s="13" t="str">
        <f t="shared" si="3"/>
        <v>영전의 발키리 서약</v>
      </c>
      <c r="G6" s="9" t="s">
        <v>24</v>
      </c>
      <c r="H6" s="10">
        <v>855.0</v>
      </c>
      <c r="I6" s="11"/>
      <c r="J6" s="8" t="s">
        <v>21</v>
      </c>
      <c r="K6" s="14"/>
      <c r="L6" s="14"/>
      <c r="M6" s="14"/>
      <c r="N6" s="15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>
      <c r="A7" s="7" t="s">
        <v>25</v>
      </c>
      <c r="B7" s="12">
        <f t="shared" si="1"/>
        <v>82254</v>
      </c>
      <c r="C7" s="13" t="str">
        <f t="shared" si="2"/>
        <v>용투장의 난 세트</v>
      </c>
      <c r="D7" s="9" t="s">
        <v>19</v>
      </c>
      <c r="E7" s="9">
        <v>2550.0</v>
      </c>
      <c r="F7" s="13" t="str">
        <f t="shared" si="3"/>
        <v>이상이 담긴 황금 서약</v>
      </c>
      <c r="G7" s="9" t="s">
        <v>26</v>
      </c>
      <c r="H7" s="10">
        <v>685.0</v>
      </c>
      <c r="I7" s="11"/>
      <c r="J7" s="8" t="s">
        <v>21</v>
      </c>
      <c r="K7" s="14"/>
      <c r="L7" s="14"/>
      <c r="M7" s="14"/>
      <c r="N7" s="15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>
      <c r="A8" s="7" t="s">
        <v>27</v>
      </c>
      <c r="B8" s="12">
        <f t="shared" si="1"/>
        <v>84296</v>
      </c>
      <c r="C8" s="13" t="str">
        <f t="shared" si="2"/>
        <v>칠흑의 정화 세트</v>
      </c>
      <c r="D8" s="9" t="s">
        <v>19</v>
      </c>
      <c r="E8" s="9">
        <v>2550.0</v>
      </c>
      <c r="F8" s="13" t="str">
        <f t="shared" si="3"/>
        <v>완전무결한 정화 서약</v>
      </c>
      <c r="G8" s="9" t="s">
        <v>28</v>
      </c>
      <c r="H8" s="10">
        <v>805.0</v>
      </c>
      <c r="I8" s="11"/>
      <c r="J8" s="8" t="s">
        <v>21</v>
      </c>
      <c r="K8" s="14"/>
      <c r="L8" s="14"/>
      <c r="M8" s="14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>
      <c r="A9" s="7" t="s">
        <v>29</v>
      </c>
      <c r="B9" s="12">
        <f t="shared" si="1"/>
        <v>78991</v>
      </c>
      <c r="C9" s="13" t="str">
        <f t="shared" si="2"/>
        <v>마력의 영역 세트</v>
      </c>
      <c r="D9" s="9" t="s">
        <v>19</v>
      </c>
      <c r="E9" s="9">
        <v>2550.0</v>
      </c>
      <c r="F9" s="13" t="str">
        <f t="shared" si="3"/>
        <v>영전의 발키리 서약</v>
      </c>
      <c r="G9" s="9" t="s">
        <v>26</v>
      </c>
      <c r="H9" s="10">
        <v>675.0</v>
      </c>
      <c r="I9" s="11"/>
      <c r="J9" s="8" t="s">
        <v>21</v>
      </c>
      <c r="K9" s="14"/>
      <c r="L9" s="14"/>
      <c r="M9" s="14"/>
      <c r="N9" s="1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>
      <c r="A10" s="7" t="s">
        <v>30</v>
      </c>
      <c r="B10" s="12">
        <f t="shared" si="1"/>
        <v>70941</v>
      </c>
      <c r="C10" s="13" t="str">
        <f t="shared" si="2"/>
        <v>그림자에 숨은 죽음 세트</v>
      </c>
      <c r="D10" s="9" t="s">
        <v>19</v>
      </c>
      <c r="E10" s="9">
        <v>2550.0</v>
      </c>
      <c r="F10" s="13" t="str">
        <f t="shared" si="3"/>
        <v>완전무결한 정화 서약</v>
      </c>
      <c r="G10" s="9" t="s">
        <v>26</v>
      </c>
      <c r="H10" s="10">
        <v>425.0</v>
      </c>
      <c r="I10" s="11"/>
      <c r="J10" s="8" t="s">
        <v>21</v>
      </c>
      <c r="K10" s="14"/>
      <c r="L10" s="14"/>
      <c r="M10" s="14"/>
      <c r="N10" s="15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>
      <c r="A11" s="7" t="s">
        <v>31</v>
      </c>
      <c r="B11" s="12">
        <f t="shared" si="1"/>
        <v>69482</v>
      </c>
      <c r="C11" s="13" t="str">
        <f t="shared" si="2"/>
        <v>한계를 넘어선 에너지 세트</v>
      </c>
      <c r="D11" s="9" t="s">
        <v>19</v>
      </c>
      <c r="E11" s="9">
        <v>2550.0</v>
      </c>
      <c r="F11" s="13" t="str">
        <f t="shared" si="3"/>
        <v>완전무결한 정화 서약</v>
      </c>
      <c r="G11" s="9" t="s">
        <v>26</v>
      </c>
      <c r="H11" s="10">
        <v>5.0</v>
      </c>
      <c r="I11" s="11"/>
      <c r="J11" s="8" t="s">
        <v>21</v>
      </c>
      <c r="K11" s="14"/>
      <c r="L11" s="14"/>
      <c r="M11" s="14"/>
      <c r="N11" s="1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>
      <c r="A12" s="7" t="s">
        <v>32</v>
      </c>
      <c r="B12" s="12">
        <f t="shared" si="1"/>
        <v>72724</v>
      </c>
      <c r="C12" s="13" t="str">
        <f t="shared" si="2"/>
        <v>칠흑의 정화 세트</v>
      </c>
      <c r="D12" s="9" t="s">
        <v>19</v>
      </c>
      <c r="E12" s="9">
        <v>2550.0</v>
      </c>
      <c r="F12" s="13" t="str">
        <f t="shared" si="3"/>
        <v>태고의 페어리 서약</v>
      </c>
      <c r="G12" s="9" t="s">
        <v>26</v>
      </c>
      <c r="H12" s="10">
        <v>245.0</v>
      </c>
      <c r="I12" s="11"/>
      <c r="J12" s="8" t="s">
        <v>21</v>
      </c>
      <c r="K12" s="14"/>
      <c r="L12" s="14"/>
      <c r="M12" s="14"/>
      <c r="N12" s="15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>
      <c r="A13" s="7" t="s">
        <v>33</v>
      </c>
      <c r="B13" s="12">
        <f t="shared" si="1"/>
        <v>64232</v>
      </c>
      <c r="C13" s="13" t="str">
        <f t="shared" si="2"/>
        <v>그림자에 숨은 죽음 세트</v>
      </c>
      <c r="D13" s="9" t="s">
        <v>34</v>
      </c>
      <c r="E13" s="9">
        <v>2295.0</v>
      </c>
      <c r="F13" s="13" t="str">
        <f t="shared" si="3"/>
        <v>운명의 행운 서약</v>
      </c>
      <c r="G13" s="9" t="s">
        <v>26</v>
      </c>
      <c r="H13" s="10">
        <v>0.0</v>
      </c>
      <c r="I13" s="11"/>
      <c r="J13" s="8" t="s">
        <v>21</v>
      </c>
      <c r="K13" s="14"/>
      <c r="L13" s="14"/>
      <c r="M13" s="14"/>
      <c r="N13" s="15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>
      <c r="A14" s="7" t="s">
        <v>35</v>
      </c>
      <c r="B14" s="12">
        <f t="shared" si="1"/>
        <v>68400</v>
      </c>
      <c r="C14" s="13" t="str">
        <f t="shared" si="2"/>
        <v>압도적인 자연 세트</v>
      </c>
      <c r="D14" s="9" t="s">
        <v>19</v>
      </c>
      <c r="E14" s="9">
        <v>2550.0</v>
      </c>
      <c r="F14" s="13" t="str">
        <f t="shared" si="3"/>
        <v>결속된 무리 서약</v>
      </c>
      <c r="G14" s="9" t="s">
        <v>26</v>
      </c>
      <c r="H14" s="10">
        <v>5.0</v>
      </c>
      <c r="I14" s="11"/>
      <c r="J14" s="8" t="s">
        <v>21</v>
      </c>
      <c r="K14" s="14"/>
      <c r="L14" s="14"/>
      <c r="M14" s="14"/>
      <c r="N14" s="15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>
      <c r="A15" s="7" t="s">
        <v>36</v>
      </c>
      <c r="B15" s="12">
        <f t="shared" si="1"/>
        <v>58248</v>
      </c>
      <c r="C15" s="13" t="str">
        <f t="shared" si="2"/>
        <v>마력의 영역 세트</v>
      </c>
      <c r="D15" s="9" t="s">
        <v>37</v>
      </c>
      <c r="E15" s="9">
        <v>2235.0</v>
      </c>
      <c r="F15" s="13" t="str">
        <f t="shared" si="3"/>
        <v>이상이 담긴 황금 서약</v>
      </c>
      <c r="G15" s="9" t="s">
        <v>26</v>
      </c>
      <c r="H15" s="10">
        <v>0.0</v>
      </c>
      <c r="I15" s="11"/>
      <c r="J15" s="8" t="s">
        <v>21</v>
      </c>
      <c r="K15" s="14"/>
      <c r="L15" s="14"/>
      <c r="M15" s="14"/>
      <c r="N15" s="15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>
      <c r="A16" s="7" t="s">
        <v>38</v>
      </c>
      <c r="B16" s="12">
        <f t="shared" si="1"/>
        <v>54367</v>
      </c>
      <c r="C16" s="13" t="str">
        <f t="shared" si="2"/>
        <v>소울 페어리 세트</v>
      </c>
      <c r="D16" s="9" t="s">
        <v>39</v>
      </c>
      <c r="E16" s="9">
        <v>1885.0</v>
      </c>
      <c r="F16" s="13" t="str">
        <f t="shared" si="3"/>
        <v>완전무결한 정화 서약</v>
      </c>
      <c r="G16" s="9" t="s">
        <v>26</v>
      </c>
      <c r="H16" s="10">
        <v>0.0</v>
      </c>
      <c r="I16" s="11"/>
      <c r="J16" s="8" t="s">
        <v>21</v>
      </c>
      <c r="K16" s="14"/>
      <c r="L16" s="14"/>
      <c r="M16" s="14"/>
      <c r="N16" s="15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>
      <c r="A17" s="7" t="s">
        <v>40</v>
      </c>
      <c r="B17" s="12">
        <f t="shared" si="1"/>
        <v>55234</v>
      </c>
      <c r="C17" s="13" t="str">
        <f t="shared" si="2"/>
        <v>고대 전장의 발키리 세트</v>
      </c>
      <c r="D17" s="9" t="s">
        <v>41</v>
      </c>
      <c r="E17" s="9">
        <v>2045.0</v>
      </c>
      <c r="F17" s="13" t="str">
        <f t="shared" si="3"/>
        <v>야망의 용투 서약</v>
      </c>
      <c r="G17" s="9" t="s">
        <v>26</v>
      </c>
      <c r="H17" s="10">
        <v>0.0</v>
      </c>
      <c r="I17" s="11"/>
      <c r="J17" s="8" t="s">
        <v>21</v>
      </c>
      <c r="K17" s="14"/>
      <c r="L17" s="14"/>
      <c r="M17" s="14"/>
      <c r="N17" s="1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>
      <c r="A18" s="7" t="s">
        <v>42</v>
      </c>
      <c r="B18" s="12">
        <f t="shared" si="1"/>
        <v>57337</v>
      </c>
      <c r="C18" s="13" t="str">
        <f t="shared" si="2"/>
        <v>소울 페어리 세트</v>
      </c>
      <c r="D18" s="9" t="s">
        <v>39</v>
      </c>
      <c r="E18" s="9">
        <v>1835.0</v>
      </c>
      <c r="F18" s="13" t="str">
        <f t="shared" si="3"/>
        <v>결속된 무리 서약</v>
      </c>
      <c r="G18" s="9" t="s">
        <v>26</v>
      </c>
      <c r="H18" s="10">
        <v>0.0</v>
      </c>
      <c r="I18" s="11"/>
      <c r="J18" s="8" t="s">
        <v>21</v>
      </c>
      <c r="K18" s="14"/>
      <c r="L18" s="14"/>
      <c r="M18" s="14"/>
      <c r="N18" s="15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>
      <c r="A19" s="7" t="s">
        <v>43</v>
      </c>
      <c r="B19" s="12">
        <f t="shared" si="1"/>
        <v>52706</v>
      </c>
      <c r="C19" s="13" t="str">
        <f t="shared" si="2"/>
        <v>영원히 이어지는 황금향 세트</v>
      </c>
      <c r="D19" s="9" t="s">
        <v>44</v>
      </c>
      <c r="E19" s="9">
        <v>1965.0</v>
      </c>
      <c r="F19" s="13" t="str">
        <f t="shared" si="3"/>
        <v>이상이 담긴 황금 서약</v>
      </c>
      <c r="G19" s="9" t="s">
        <v>26</v>
      </c>
      <c r="H19" s="10">
        <v>0.0</v>
      </c>
      <c r="I19" s="11"/>
      <c r="J19" s="8" t="s">
        <v>21</v>
      </c>
      <c r="K19" s="14"/>
      <c r="L19" s="14"/>
      <c r="M19" s="14"/>
      <c r="N19" s="1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>
      <c r="A20" s="7" t="s">
        <v>45</v>
      </c>
      <c r="B20" s="12">
        <f t="shared" si="1"/>
        <v>51809</v>
      </c>
      <c r="C20" s="13" t="str">
        <f t="shared" si="2"/>
        <v>세렌디피티 세트</v>
      </c>
      <c r="D20" s="9" t="s">
        <v>39</v>
      </c>
      <c r="E20" s="9">
        <v>1875.0</v>
      </c>
      <c r="F20" s="13" t="str">
        <f t="shared" si="3"/>
        <v>결속된 무리 서약</v>
      </c>
      <c r="G20" s="9" t="s">
        <v>26</v>
      </c>
      <c r="H20" s="10">
        <v>0.0</v>
      </c>
      <c r="I20" s="11"/>
      <c r="J20" s="8" t="s">
        <v>21</v>
      </c>
      <c r="K20" s="14"/>
      <c r="L20" s="14"/>
      <c r="M20" s="14"/>
      <c r="N20" s="15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>
      <c r="A21" s="16" t="s">
        <v>46</v>
      </c>
      <c r="B21" s="12">
        <f t="shared" si="1"/>
        <v>51895</v>
      </c>
      <c r="C21" s="13" t="str">
        <f t="shared" si="2"/>
        <v>소울 페어리 세트</v>
      </c>
      <c r="D21" s="9" t="s">
        <v>39</v>
      </c>
      <c r="E21" s="9">
        <v>1865.0</v>
      </c>
      <c r="F21" s="13" t="str">
        <f t="shared" si="3"/>
        <v>근원에 닿은 자연 서약</v>
      </c>
      <c r="G21" s="9" t="s">
        <v>26</v>
      </c>
      <c r="H21" s="10">
        <v>0.0</v>
      </c>
      <c r="I21" s="11"/>
      <c r="J21" s="8" t="s">
        <v>21</v>
      </c>
      <c r="K21" s="14"/>
      <c r="L21" s="14"/>
      <c r="M21" s="14"/>
      <c r="N21" s="15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>
      <c r="A22" s="7" t="s">
        <v>47</v>
      </c>
      <c r="B22" s="12">
        <f t="shared" si="1"/>
        <v>49340</v>
      </c>
      <c r="C22" s="13" t="str">
        <f t="shared" si="2"/>
        <v>에테리얼 오브 아츠 세트</v>
      </c>
      <c r="D22" s="9" t="s">
        <v>48</v>
      </c>
      <c r="E22" s="9">
        <v>1695.0</v>
      </c>
      <c r="F22" s="13" t="str">
        <f t="shared" si="3"/>
        <v>태고의 페어리 서약</v>
      </c>
      <c r="G22" s="9" t="s">
        <v>26</v>
      </c>
      <c r="H22" s="10">
        <v>0.0</v>
      </c>
      <c r="I22" s="11"/>
      <c r="J22" s="8" t="s">
        <v>21</v>
      </c>
      <c r="K22" s="14"/>
      <c r="L22" s="14"/>
      <c r="M22" s="14"/>
      <c r="N22" s="1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>
      <c r="A23" s="7" t="s">
        <v>49</v>
      </c>
      <c r="B23" s="12">
        <f t="shared" si="1"/>
        <v>51890</v>
      </c>
      <c r="C23" s="13" t="str">
        <f t="shared" si="2"/>
        <v>칠흑의 정화 세트</v>
      </c>
      <c r="D23" s="9" t="s">
        <v>39</v>
      </c>
      <c r="E23" s="9">
        <v>1885.0</v>
      </c>
      <c r="F23" s="13" t="str">
        <f t="shared" si="3"/>
        <v>근원에 닿은 자연 서약</v>
      </c>
      <c r="G23" s="9" t="s">
        <v>26</v>
      </c>
      <c r="H23" s="10">
        <v>0.0</v>
      </c>
      <c r="I23" s="11"/>
      <c r="J23" s="8" t="s">
        <v>21</v>
      </c>
      <c r="K23" s="14"/>
      <c r="L23" s="14"/>
      <c r="M23" s="14"/>
      <c r="N23" s="1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>
      <c r="A24" s="17" t="s">
        <v>50</v>
      </c>
      <c r="B24" s="18">
        <f t="shared" si="1"/>
        <v>56027</v>
      </c>
      <c r="C24" s="19" t="str">
        <f t="shared" si="2"/>
        <v>소울 페어리 세트</v>
      </c>
      <c r="D24" s="20" t="s">
        <v>51</v>
      </c>
      <c r="E24" s="20">
        <v>1795.0</v>
      </c>
      <c r="F24" s="19" t="str">
        <f t="shared" si="3"/>
        <v>조화의 여우 서약</v>
      </c>
      <c r="G24" s="20" t="s">
        <v>26</v>
      </c>
      <c r="H24" s="21">
        <v>0.0</v>
      </c>
      <c r="I24" s="22"/>
      <c r="J24" s="23" t="s">
        <v>21</v>
      </c>
      <c r="K24" s="24"/>
      <c r="L24" s="24"/>
      <c r="M24" s="24"/>
      <c r="N24" s="25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>
      <c r="A30" s="2"/>
      <c r="B30" s="2"/>
      <c r="C30" s="2"/>
      <c r="D30" s="2"/>
      <c r="E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</sheetData>
  <mergeCells count="2">
    <mergeCell ref="B3:H3"/>
    <mergeCell ref="J3:N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